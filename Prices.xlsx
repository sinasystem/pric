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ina\Desktop\"/>
    </mc:Choice>
  </mc:AlternateContent>
  <xr:revisionPtr revIDLastSave="0" documentId="13_ncr:1_{DBBCCB17-43A5-4843-A4B8-FFB9CE3433B4}" xr6:coauthVersionLast="47" xr6:coauthVersionMax="47" xr10:uidLastSave="{00000000-0000-0000-0000-000000000000}"/>
  <bookViews>
    <workbookView xWindow="15735" yWindow="3480" windowWidth="10365" windowHeight="10605" firstSheet="2" activeTab="3" xr2:uid="{00000000-000D-0000-FFFF-FFFF00000000}"/>
  </bookViews>
  <sheets>
    <sheet name="Raw Mat" sheetId="1" r:id="rId1"/>
    <sheet name="Gems" sheetId="2" r:id="rId2"/>
    <sheet name="Consumables" sheetId="3" r:id="rId3"/>
    <sheet name="Transmut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C9" i="3"/>
  <c r="C8" i="3"/>
  <c r="C7" i="3"/>
  <c r="C6" i="3"/>
  <c r="C5" i="3"/>
  <c r="C4" i="3"/>
  <c r="C3" i="3"/>
  <c r="C2" i="3"/>
  <c r="C9" i="5"/>
  <c r="C8" i="5"/>
  <c r="C7" i="5"/>
  <c r="C6" i="5"/>
  <c r="C5" i="5"/>
  <c r="C4" i="5"/>
  <c r="C3" i="5"/>
  <c r="C2" i="5"/>
  <c r="C19" i="2"/>
  <c r="C20" i="2"/>
  <c r="C21" i="2"/>
  <c r="C23" i="2"/>
  <c r="C24" i="2"/>
  <c r="C25" i="2"/>
  <c r="C26" i="2"/>
  <c r="C27" i="2"/>
  <c r="C28" i="2"/>
  <c r="C29" i="2"/>
  <c r="C31" i="2"/>
  <c r="C32" i="2"/>
  <c r="C33" i="2"/>
  <c r="C34" i="2"/>
  <c r="C36" i="2"/>
  <c r="C37" i="2"/>
  <c r="C18" i="2"/>
  <c r="C10" i="2"/>
  <c r="C10" i="1"/>
  <c r="C8" i="1"/>
  <c r="C12" i="2"/>
  <c r="C11" i="2"/>
  <c r="C15" i="2"/>
  <c r="C13" i="2"/>
  <c r="C14" i="2"/>
  <c r="C4" i="2"/>
  <c r="C5" i="2"/>
  <c r="C6" i="2"/>
  <c r="C7" i="2"/>
  <c r="C8" i="2"/>
  <c r="C3" i="2"/>
  <c r="C3" i="1"/>
  <c r="C4" i="1"/>
  <c r="C5" i="1"/>
  <c r="C6" i="1"/>
  <c r="C7" i="1"/>
  <c r="C9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<sst xmlns="http://schemas.openxmlformats.org/spreadsheetml/2006/main" count="79" uniqueCount="68">
  <si>
    <t>Item</t>
  </si>
  <si>
    <t>Price</t>
  </si>
  <si>
    <t>Stack Price</t>
  </si>
  <si>
    <t>Saronite Ore</t>
  </si>
  <si>
    <t>Titanium Ore</t>
  </si>
  <si>
    <t>Lichbloom</t>
  </si>
  <si>
    <t>Icethorn</t>
  </si>
  <si>
    <t>Goldclover</t>
  </si>
  <si>
    <t>Tiger Lily</t>
  </si>
  <si>
    <t>Adder's Tongue</t>
  </si>
  <si>
    <t>Eternal Air</t>
  </si>
  <si>
    <t>Eternal Fire</t>
  </si>
  <si>
    <t>Eternal Earth</t>
  </si>
  <si>
    <t>Eternal Life</t>
  </si>
  <si>
    <t>Eternal Shadow</t>
  </si>
  <si>
    <t>Eternal Water</t>
  </si>
  <si>
    <t>Scarlet Ruby</t>
  </si>
  <si>
    <t>Monarch Topaz</t>
  </si>
  <si>
    <t>Autumn’s Glow</t>
  </si>
  <si>
    <t>Sky Sapphire</t>
  </si>
  <si>
    <t>Twilight Opal</t>
  </si>
  <si>
    <t>Forest Emerald</t>
  </si>
  <si>
    <t>Dark Jade</t>
  </si>
  <si>
    <t>Chalcedony</t>
  </si>
  <si>
    <t>Bloodstone</t>
  </si>
  <si>
    <t>Sun Crystal</t>
  </si>
  <si>
    <t>Huge Citrine</t>
  </si>
  <si>
    <t>Shadow Crystal</t>
  </si>
  <si>
    <t>Bold Scarlet Ruby</t>
  </si>
  <si>
    <t>Precise Scarlet Ruby</t>
  </si>
  <si>
    <t>Wicked Monarch Topaz</t>
  </si>
  <si>
    <t>Flask of Endless Rage</t>
  </si>
  <si>
    <t>Flask of the Frost Wyrm</t>
  </si>
  <si>
    <t>Flask of Stoneblood</t>
  </si>
  <si>
    <t>Flask of Pure Mojo</t>
  </si>
  <si>
    <t>Potion of Speed</t>
  </si>
  <si>
    <t>Potion of Wild Magic</t>
  </si>
  <si>
    <t>Indestructible Potion</t>
  </si>
  <si>
    <t>Runic Healing Potion</t>
  </si>
  <si>
    <t>Runic Mana Potion</t>
  </si>
  <si>
    <t>Frost Lotus</t>
  </si>
  <si>
    <t>Inscribed Monarch Topaz</t>
  </si>
  <si>
    <t>Raw Gems</t>
  </si>
  <si>
    <t>Uncommon Gems</t>
  </si>
  <si>
    <t>High-Demand Cut Gems</t>
  </si>
  <si>
    <t>Bright Scarlet Ruby</t>
  </si>
  <si>
    <t>Ruined Scarlet Ruby</t>
  </si>
  <si>
    <t>Champion's Monarch Topaz</t>
  </si>
  <si>
    <t>Fierce Monarch Topaz</t>
  </si>
  <si>
    <t>Deadly Monarch Topaz</t>
  </si>
  <si>
    <t>Reckless Monarch Topaz</t>
  </si>
  <si>
    <t>Resplendent Monarch Topaz</t>
  </si>
  <si>
    <t>Autumn's Glow</t>
  </si>
  <si>
    <t>Smooth Autumn's Glow</t>
  </si>
  <si>
    <t>Quick Autumn's Glow</t>
  </si>
  <si>
    <t>Rigid Autumn's Glow</t>
  </si>
  <si>
    <t>Brilliant Autumn's Glow</t>
  </si>
  <si>
    <t>Meta Gems</t>
  </si>
  <si>
    <t>Chaotic Skyflare Diamond</t>
  </si>
  <si>
    <t>Relentless Earthsiege Diamond</t>
  </si>
  <si>
    <t>Cardinal Ruby</t>
  </si>
  <si>
    <t>King's Amber</t>
  </si>
  <si>
    <t>Majestic Zircon</t>
  </si>
  <si>
    <t>Ametrine</t>
  </si>
  <si>
    <t>Dreadstone</t>
  </si>
  <si>
    <t>Eye of Zul</t>
  </si>
  <si>
    <t>Earthsiege Diamond</t>
  </si>
  <si>
    <t>Skyflare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</si>
</sst>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sqref="A1:C15"/>
    </sheetView>
  </sheetViews>
  <sheetFormatPr defaultRowHeight="15" x14ac:dyDescent="0.25"/>
  <cols>
    <col min="1" max="1" width="30.28515625" style="1" customWidth="1"/>
    <col min="2" max="2" width="11.140625" style="4" customWidth="1"/>
    <col min="3" max="3" width="15.42578125" style="1" customWidth="1"/>
    <col min="4" max="16384" width="9.140625" style="1"/>
  </cols>
  <sheetData>
    <row r="1" spans="1:3" ht="21" x14ac:dyDescent="0.35">
      <c r="A1" s="6" t="s">
        <v>0</v>
      </c>
      <c r="B1" s="7" t="s">
        <v>1</v>
      </c>
      <c r="C1" s="6" t="s">
        <v>2</v>
      </c>
    </row>
    <row r="2" spans="1:3" x14ac:dyDescent="0.25">
      <c r="A2" s="3" t="s">
        <v>3</v>
      </c>
      <c r="B2" s="4">
        <v>3.4</v>
      </c>
      <c r="C2" s="1">
        <f>20*B2</f>
        <v>68</v>
      </c>
    </row>
    <row r="3" spans="1:3" x14ac:dyDescent="0.25">
      <c r="A3" s="3" t="s">
        <v>4</v>
      </c>
      <c r="B3" s="4">
        <v>23</v>
      </c>
      <c r="C3" s="1">
        <f t="shared" ref="C3:C7" si="0">20*B3</f>
        <v>460</v>
      </c>
    </row>
    <row r="4" spans="1:3" x14ac:dyDescent="0.25">
      <c r="A4" s="3" t="s">
        <v>5</v>
      </c>
      <c r="B4" s="4">
        <v>25.5</v>
      </c>
      <c r="C4" s="1">
        <f t="shared" si="0"/>
        <v>510</v>
      </c>
    </row>
    <row r="5" spans="1:3" x14ac:dyDescent="0.25">
      <c r="A5" s="3" t="s">
        <v>6</v>
      </c>
      <c r="B5" s="4">
        <v>2.4</v>
      </c>
      <c r="C5" s="1">
        <f t="shared" si="0"/>
        <v>48</v>
      </c>
    </row>
    <row r="6" spans="1:3" x14ac:dyDescent="0.25">
      <c r="A6" s="3" t="s">
        <v>7</v>
      </c>
      <c r="B6" s="4">
        <v>1.5</v>
      </c>
      <c r="C6" s="1">
        <f t="shared" si="0"/>
        <v>30</v>
      </c>
    </row>
    <row r="7" spans="1:3" x14ac:dyDescent="0.25">
      <c r="A7" s="3" t="s">
        <v>8</v>
      </c>
      <c r="B7" s="4">
        <v>1.5</v>
      </c>
      <c r="C7" s="1">
        <f t="shared" si="0"/>
        <v>30</v>
      </c>
    </row>
    <row r="8" spans="1:3" x14ac:dyDescent="0.25">
      <c r="A8" s="3" t="s">
        <v>40</v>
      </c>
      <c r="B8" s="4">
        <v>35</v>
      </c>
      <c r="C8" s="1">
        <f>20*B8</f>
        <v>700</v>
      </c>
    </row>
    <row r="9" spans="1:3" x14ac:dyDescent="0.25">
      <c r="A9" s="3" t="s">
        <v>9</v>
      </c>
      <c r="B9" s="4">
        <v>18</v>
      </c>
      <c r="C9" s="1">
        <f>20*B9</f>
        <v>360</v>
      </c>
    </row>
    <row r="10" spans="1:3" x14ac:dyDescent="0.25">
      <c r="A10" s="3" t="s">
        <v>10</v>
      </c>
      <c r="B10" s="4">
        <v>24</v>
      </c>
      <c r="C10" s="1">
        <f>20*B10</f>
        <v>480</v>
      </c>
    </row>
    <row r="11" spans="1:3" x14ac:dyDescent="0.25">
      <c r="A11" s="3" t="s">
        <v>11</v>
      </c>
      <c r="B11" s="4">
        <v>45</v>
      </c>
      <c r="C11" s="1">
        <f>20*B11</f>
        <v>900</v>
      </c>
    </row>
    <row r="12" spans="1:3" x14ac:dyDescent="0.25">
      <c r="A12" s="3" t="s">
        <v>12</v>
      </c>
      <c r="B12" s="4">
        <v>13</v>
      </c>
      <c r="C12" s="1">
        <f>20*B12</f>
        <v>260</v>
      </c>
    </row>
    <row r="13" spans="1:3" x14ac:dyDescent="0.25">
      <c r="A13" s="3" t="s">
        <v>13</v>
      </c>
      <c r="B13" s="4">
        <v>27</v>
      </c>
      <c r="C13" s="1">
        <f>20*B13</f>
        <v>540</v>
      </c>
    </row>
    <row r="14" spans="1:3" x14ac:dyDescent="0.25">
      <c r="A14" s="3" t="s">
        <v>14</v>
      </c>
      <c r="B14" s="4">
        <v>31</v>
      </c>
      <c r="C14" s="1">
        <f>20*B14</f>
        <v>620</v>
      </c>
    </row>
    <row r="15" spans="1:3" x14ac:dyDescent="0.25">
      <c r="A15" s="3" t="s">
        <v>15</v>
      </c>
      <c r="B15" s="4">
        <v>16</v>
      </c>
      <c r="C15" s="1">
        <f>20*B15</f>
        <v>320</v>
      </c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1DEB-11A9-4591-8939-13C5A7AFD223}">
  <dimension ref="A1:C49"/>
  <sheetViews>
    <sheetView topLeftCell="A21" workbookViewId="0">
      <selection activeCell="A2" sqref="A2:C37"/>
    </sheetView>
  </sheetViews>
  <sheetFormatPr defaultRowHeight="15" x14ac:dyDescent="0.25"/>
  <cols>
    <col min="1" max="1" width="30.28515625" customWidth="1"/>
    <col min="2" max="2" width="10.85546875" style="1" customWidth="1"/>
    <col min="3" max="3" width="15.7109375" customWidth="1"/>
  </cols>
  <sheetData>
    <row r="1" spans="1:3" ht="21" x14ac:dyDescent="0.35">
      <c r="A1" s="6" t="s">
        <v>0</v>
      </c>
      <c r="B1" s="6" t="s">
        <v>1</v>
      </c>
      <c r="C1" s="6" t="s">
        <v>2</v>
      </c>
    </row>
    <row r="2" spans="1:3" x14ac:dyDescent="0.25">
      <c r="A2" s="2" t="s">
        <v>42</v>
      </c>
      <c r="B2" s="2"/>
      <c r="C2" s="2"/>
    </row>
    <row r="3" spans="1:3" x14ac:dyDescent="0.25">
      <c r="A3" s="3" t="s">
        <v>16</v>
      </c>
      <c r="B3" s="1">
        <v>100</v>
      </c>
      <c r="C3" s="1">
        <f>20*B3</f>
        <v>2000</v>
      </c>
    </row>
    <row r="4" spans="1:3" x14ac:dyDescent="0.25">
      <c r="A4" t="s">
        <v>17</v>
      </c>
      <c r="B4" s="1">
        <v>43</v>
      </c>
      <c r="C4" s="1">
        <f t="shared" ref="C4:C8" si="0">20*B4</f>
        <v>860</v>
      </c>
    </row>
    <row r="5" spans="1:3" x14ac:dyDescent="0.25">
      <c r="A5" t="s">
        <v>18</v>
      </c>
      <c r="B5" s="1">
        <v>80</v>
      </c>
      <c r="C5" s="1">
        <f t="shared" si="0"/>
        <v>1600</v>
      </c>
    </row>
    <row r="6" spans="1:3" x14ac:dyDescent="0.25">
      <c r="A6" t="s">
        <v>19</v>
      </c>
      <c r="B6" s="1">
        <v>6</v>
      </c>
      <c r="C6" s="1">
        <f t="shared" si="0"/>
        <v>120</v>
      </c>
    </row>
    <row r="7" spans="1:3" x14ac:dyDescent="0.25">
      <c r="A7" t="s">
        <v>20</v>
      </c>
      <c r="B7" s="1">
        <v>5</v>
      </c>
      <c r="C7" s="1">
        <f t="shared" si="0"/>
        <v>100</v>
      </c>
    </row>
    <row r="8" spans="1:3" x14ac:dyDescent="0.25">
      <c r="A8" t="s">
        <v>21</v>
      </c>
      <c r="B8" s="1">
        <v>6</v>
      </c>
      <c r="C8" s="1">
        <f t="shared" si="0"/>
        <v>120</v>
      </c>
    </row>
    <row r="9" spans="1:3" x14ac:dyDescent="0.25">
      <c r="A9" s="2" t="s">
        <v>43</v>
      </c>
    </row>
    <row r="10" spans="1:3" x14ac:dyDescent="0.25">
      <c r="A10" t="s">
        <v>24</v>
      </c>
      <c r="B10" s="1">
        <v>4</v>
      </c>
      <c r="C10" s="1">
        <f>20*B10</f>
        <v>80</v>
      </c>
    </row>
    <row r="11" spans="1:3" x14ac:dyDescent="0.25">
      <c r="A11" t="s">
        <v>23</v>
      </c>
      <c r="B11" s="1">
        <v>15</v>
      </c>
      <c r="C11" s="1">
        <f>20*B11</f>
        <v>300</v>
      </c>
    </row>
    <row r="12" spans="1:3" x14ac:dyDescent="0.25">
      <c r="A12" t="s">
        <v>22</v>
      </c>
      <c r="B12" s="1">
        <v>21.5</v>
      </c>
      <c r="C12" s="1">
        <f>20*B12</f>
        <v>430</v>
      </c>
    </row>
    <row r="13" spans="1:3" x14ac:dyDescent="0.25">
      <c r="A13" t="s">
        <v>26</v>
      </c>
      <c r="B13" s="1">
        <v>3.97</v>
      </c>
      <c r="C13" s="1">
        <f>20*B13</f>
        <v>79.400000000000006</v>
      </c>
    </row>
    <row r="14" spans="1:3" x14ac:dyDescent="0.25">
      <c r="A14" t="s">
        <v>27</v>
      </c>
      <c r="B14" s="1">
        <v>0.93</v>
      </c>
      <c r="C14" s="1">
        <f>20*B14</f>
        <v>18.600000000000001</v>
      </c>
    </row>
    <row r="15" spans="1:3" x14ac:dyDescent="0.25">
      <c r="A15" t="s">
        <v>25</v>
      </c>
      <c r="B15" s="1">
        <v>3.94</v>
      </c>
      <c r="C15" s="1">
        <f>20*B15</f>
        <v>78.8</v>
      </c>
    </row>
    <row r="16" spans="1:3" x14ac:dyDescent="0.25">
      <c r="A16" s="2" t="s">
        <v>44</v>
      </c>
    </row>
    <row r="17" spans="1:3" x14ac:dyDescent="0.25">
      <c r="A17" s="5" t="s">
        <v>16</v>
      </c>
    </row>
    <row r="18" spans="1:3" x14ac:dyDescent="0.25">
      <c r="A18" t="s">
        <v>45</v>
      </c>
      <c r="B18" s="1">
        <v>86</v>
      </c>
      <c r="C18" s="1">
        <f>20*B18</f>
        <v>1720</v>
      </c>
    </row>
    <row r="19" spans="1:3" x14ac:dyDescent="0.25">
      <c r="A19" t="s">
        <v>28</v>
      </c>
      <c r="B19" s="1">
        <v>105</v>
      </c>
      <c r="C19" s="1">
        <f t="shared" ref="C19:C37" si="1">20*B19</f>
        <v>2100</v>
      </c>
    </row>
    <row r="20" spans="1:3" x14ac:dyDescent="0.25">
      <c r="A20" t="s">
        <v>29</v>
      </c>
      <c r="B20" s="1">
        <v>108</v>
      </c>
      <c r="C20" s="1">
        <f t="shared" si="1"/>
        <v>2160</v>
      </c>
    </row>
    <row r="21" spans="1:3" x14ac:dyDescent="0.25">
      <c r="A21" t="s">
        <v>46</v>
      </c>
      <c r="B21" s="1">
        <v>120</v>
      </c>
      <c r="C21" s="1">
        <f t="shared" si="1"/>
        <v>2400</v>
      </c>
    </row>
    <row r="22" spans="1:3" x14ac:dyDescent="0.25">
      <c r="A22" s="5" t="s">
        <v>17</v>
      </c>
      <c r="C22" s="1"/>
    </row>
    <row r="23" spans="1:3" x14ac:dyDescent="0.25">
      <c r="A23" t="s">
        <v>30</v>
      </c>
      <c r="B23" s="1">
        <v>47</v>
      </c>
      <c r="C23" s="1">
        <f t="shared" si="1"/>
        <v>940</v>
      </c>
    </row>
    <row r="24" spans="1:3" x14ac:dyDescent="0.25">
      <c r="A24" t="s">
        <v>47</v>
      </c>
      <c r="B24" s="1">
        <v>49</v>
      </c>
      <c r="C24" s="1">
        <f t="shared" si="1"/>
        <v>980</v>
      </c>
    </row>
    <row r="25" spans="1:3" x14ac:dyDescent="0.25">
      <c r="A25" t="s">
        <v>48</v>
      </c>
      <c r="B25" s="1">
        <v>50</v>
      </c>
      <c r="C25" s="1">
        <f t="shared" si="1"/>
        <v>1000</v>
      </c>
    </row>
    <row r="26" spans="1:3" x14ac:dyDescent="0.25">
      <c r="A26" t="s">
        <v>41</v>
      </c>
      <c r="B26" s="1">
        <v>69</v>
      </c>
      <c r="C26" s="1">
        <f t="shared" si="1"/>
        <v>1380</v>
      </c>
    </row>
    <row r="27" spans="1:3" x14ac:dyDescent="0.25">
      <c r="A27" t="s">
        <v>49</v>
      </c>
      <c r="B27" s="1">
        <v>79</v>
      </c>
      <c r="C27" s="1">
        <f t="shared" si="1"/>
        <v>1580</v>
      </c>
    </row>
    <row r="28" spans="1:3" x14ac:dyDescent="0.25">
      <c r="A28" t="s">
        <v>50</v>
      </c>
      <c r="B28" s="1">
        <v>93</v>
      </c>
      <c r="C28" s="1">
        <f t="shared" si="1"/>
        <v>1860</v>
      </c>
    </row>
    <row r="29" spans="1:3" x14ac:dyDescent="0.25">
      <c r="A29" t="s">
        <v>51</v>
      </c>
      <c r="B29" s="1">
        <v>145</v>
      </c>
      <c r="C29" s="1">
        <f t="shared" si="1"/>
        <v>2900</v>
      </c>
    </row>
    <row r="30" spans="1:3" x14ac:dyDescent="0.25">
      <c r="A30" s="5" t="s">
        <v>52</v>
      </c>
      <c r="C30" s="1"/>
    </row>
    <row r="31" spans="1:3" x14ac:dyDescent="0.25">
      <c r="A31" t="s">
        <v>53</v>
      </c>
      <c r="B31" s="1">
        <v>80</v>
      </c>
      <c r="C31" s="1">
        <f t="shared" si="1"/>
        <v>1600</v>
      </c>
    </row>
    <row r="32" spans="1:3" x14ac:dyDescent="0.25">
      <c r="A32" t="s">
        <v>54</v>
      </c>
      <c r="B32" s="1">
        <v>85</v>
      </c>
      <c r="C32" s="1">
        <f t="shared" si="1"/>
        <v>1700</v>
      </c>
    </row>
    <row r="33" spans="1:3" x14ac:dyDescent="0.25">
      <c r="A33" t="s">
        <v>55</v>
      </c>
      <c r="B33" s="1">
        <v>107</v>
      </c>
      <c r="C33" s="1">
        <f t="shared" si="1"/>
        <v>2140</v>
      </c>
    </row>
    <row r="34" spans="1:3" x14ac:dyDescent="0.25">
      <c r="A34" t="s">
        <v>56</v>
      </c>
      <c r="B34" s="1">
        <v>100</v>
      </c>
      <c r="C34" s="1">
        <f t="shared" si="1"/>
        <v>2000</v>
      </c>
    </row>
    <row r="35" spans="1:3" x14ac:dyDescent="0.25">
      <c r="A35" s="2" t="s">
        <v>57</v>
      </c>
      <c r="C35" s="1"/>
    </row>
    <row r="36" spans="1:3" x14ac:dyDescent="0.25">
      <c r="A36" t="s">
        <v>58</v>
      </c>
      <c r="B36" s="1">
        <v>65</v>
      </c>
      <c r="C36" s="1">
        <f t="shared" si="1"/>
        <v>1300</v>
      </c>
    </row>
    <row r="37" spans="1:3" x14ac:dyDescent="0.25">
      <c r="A37" t="s">
        <v>59</v>
      </c>
      <c r="B37" s="1">
        <v>65</v>
      </c>
      <c r="C37" s="1">
        <f t="shared" si="1"/>
        <v>1300</v>
      </c>
    </row>
    <row r="41" spans="1:3" x14ac:dyDescent="0.25">
      <c r="C41" s="1"/>
    </row>
    <row r="42" spans="1:3" x14ac:dyDescent="0.25">
      <c r="C42" s="1"/>
    </row>
    <row r="43" spans="1:3" x14ac:dyDescent="0.25">
      <c r="C43" s="1"/>
    </row>
    <row r="44" spans="1:3" x14ac:dyDescent="0.25">
      <c r="C44" s="1"/>
    </row>
    <row r="45" spans="1:3" x14ac:dyDescent="0.25">
      <c r="C45" s="1"/>
    </row>
    <row r="46" spans="1:3" x14ac:dyDescent="0.25">
      <c r="C46" s="1"/>
    </row>
    <row r="47" spans="1:3" x14ac:dyDescent="0.25">
      <c r="C47" s="1"/>
    </row>
    <row r="48" spans="1:3" x14ac:dyDescent="0.25">
      <c r="C48" s="1"/>
    </row>
    <row r="49" spans="3:3" x14ac:dyDescent="0.25">
      <c r="C49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F434-4AED-462D-B49C-06EC8C687CB4}">
  <dimension ref="A1:C15"/>
  <sheetViews>
    <sheetView workbookViewId="0">
      <selection activeCell="C10" sqref="A2:C10"/>
    </sheetView>
  </sheetViews>
  <sheetFormatPr defaultRowHeight="15" x14ac:dyDescent="0.25"/>
  <cols>
    <col min="1" max="1" width="25.7109375" customWidth="1"/>
    <col min="2" max="2" width="12.28515625" style="1" customWidth="1"/>
    <col min="3" max="3" width="17.140625" customWidth="1"/>
  </cols>
  <sheetData>
    <row r="1" spans="1:3" ht="21" x14ac:dyDescent="0.35">
      <c r="A1" s="6" t="s">
        <v>0</v>
      </c>
      <c r="B1" s="6" t="s">
        <v>1</v>
      </c>
      <c r="C1" s="6" t="s">
        <v>2</v>
      </c>
    </row>
    <row r="2" spans="1:3" x14ac:dyDescent="0.25">
      <c r="A2" t="s">
        <v>31</v>
      </c>
      <c r="B2" s="1">
        <v>112</v>
      </c>
      <c r="C2" s="1">
        <f>20*B2</f>
        <v>2240</v>
      </c>
    </row>
    <row r="3" spans="1:3" x14ac:dyDescent="0.25">
      <c r="A3" t="s">
        <v>32</v>
      </c>
      <c r="B3" s="1">
        <v>91</v>
      </c>
      <c r="C3" s="1">
        <f t="shared" ref="C3:C7" si="0">20*B3</f>
        <v>1820</v>
      </c>
    </row>
    <row r="4" spans="1:3" x14ac:dyDescent="0.25">
      <c r="A4" t="s">
        <v>33</v>
      </c>
      <c r="B4" s="1">
        <v>124</v>
      </c>
      <c r="C4" s="1">
        <f t="shared" si="0"/>
        <v>2480</v>
      </c>
    </row>
    <row r="5" spans="1:3" x14ac:dyDescent="0.25">
      <c r="A5" t="s">
        <v>34</v>
      </c>
      <c r="B5" s="1">
        <v>39</v>
      </c>
      <c r="C5" s="1">
        <f t="shared" si="0"/>
        <v>780</v>
      </c>
    </row>
    <row r="6" spans="1:3" x14ac:dyDescent="0.25">
      <c r="A6" t="s">
        <v>35</v>
      </c>
      <c r="B6" s="1">
        <v>38</v>
      </c>
      <c r="C6" s="1">
        <f t="shared" si="0"/>
        <v>760</v>
      </c>
    </row>
    <row r="7" spans="1:3" x14ac:dyDescent="0.25">
      <c r="A7" t="s">
        <v>36</v>
      </c>
      <c r="B7" s="1">
        <v>52</v>
      </c>
      <c r="C7" s="1">
        <f t="shared" si="0"/>
        <v>1040</v>
      </c>
    </row>
    <row r="8" spans="1:3" x14ac:dyDescent="0.25">
      <c r="A8" t="s">
        <v>37</v>
      </c>
      <c r="B8" s="1">
        <v>5</v>
      </c>
      <c r="C8" s="1">
        <f>20*B8</f>
        <v>100</v>
      </c>
    </row>
    <row r="9" spans="1:3" x14ac:dyDescent="0.25">
      <c r="A9" t="s">
        <v>38</v>
      </c>
      <c r="B9" s="1">
        <v>1</v>
      </c>
      <c r="C9" s="1">
        <f>20*B9</f>
        <v>20</v>
      </c>
    </row>
    <row r="10" spans="1:3" x14ac:dyDescent="0.25">
      <c r="A10" t="s">
        <v>39</v>
      </c>
      <c r="B10" s="1">
        <v>11</v>
      </c>
      <c r="C10" s="1">
        <f>20*B10</f>
        <v>220</v>
      </c>
    </row>
    <row r="11" spans="1:3" x14ac:dyDescent="0.25">
      <c r="C11" s="1"/>
    </row>
    <row r="12" spans="1:3" x14ac:dyDescent="0.25">
      <c r="C12" s="1"/>
    </row>
    <row r="13" spans="1:3" x14ac:dyDescent="0.25">
      <c r="C13" s="1"/>
    </row>
    <row r="14" spans="1:3" x14ac:dyDescent="0.25">
      <c r="C14" s="1"/>
    </row>
    <row r="15" spans="1:3" x14ac:dyDescent="0.25">
      <c r="C15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D17D-C96D-4B15-B2F0-E7540C052481}">
  <dimension ref="A1:C15"/>
  <sheetViews>
    <sheetView tabSelected="1" workbookViewId="0">
      <selection activeCell="B14" sqref="B14"/>
    </sheetView>
  </sheetViews>
  <sheetFormatPr defaultRowHeight="15" x14ac:dyDescent="0.25"/>
  <cols>
    <col min="1" max="1" width="22.5703125" customWidth="1"/>
    <col min="2" max="2" width="13.42578125" customWidth="1"/>
    <col min="3" max="3" width="17.140625" customWidth="1"/>
  </cols>
  <sheetData>
    <row r="1" spans="1:3" ht="21" x14ac:dyDescent="0.35">
      <c r="A1" s="6" t="s">
        <v>0</v>
      </c>
      <c r="B1" s="7" t="s">
        <v>1</v>
      </c>
      <c r="C1" s="6" t="s">
        <v>2</v>
      </c>
    </row>
    <row r="2" spans="1:3" x14ac:dyDescent="0.25">
      <c r="A2" s="3" t="s">
        <v>60</v>
      </c>
      <c r="B2" s="4">
        <v>147</v>
      </c>
      <c r="C2" s="1">
        <f>20*B2</f>
        <v>2940</v>
      </c>
    </row>
    <row r="3" spans="1:3" x14ac:dyDescent="0.25">
      <c r="A3" s="3" t="s">
        <v>61</v>
      </c>
      <c r="B3" s="4">
        <v>129</v>
      </c>
      <c r="C3" s="1">
        <f t="shared" ref="C3:C7" si="0">20*B3</f>
        <v>2580</v>
      </c>
    </row>
    <row r="4" spans="1:3" x14ac:dyDescent="0.25">
      <c r="A4" s="3" t="s">
        <v>62</v>
      </c>
      <c r="B4" s="4">
        <v>50</v>
      </c>
      <c r="C4" s="1">
        <f t="shared" si="0"/>
        <v>1000</v>
      </c>
    </row>
    <row r="5" spans="1:3" x14ac:dyDescent="0.25">
      <c r="A5" s="3" t="s">
        <v>63</v>
      </c>
      <c r="B5" s="4">
        <v>117</v>
      </c>
      <c r="C5" s="1">
        <f t="shared" si="0"/>
        <v>2340</v>
      </c>
    </row>
    <row r="6" spans="1:3" x14ac:dyDescent="0.25">
      <c r="A6" s="3" t="s">
        <v>64</v>
      </c>
      <c r="B6" s="4">
        <v>50</v>
      </c>
      <c r="C6" s="1">
        <f t="shared" si="0"/>
        <v>1000</v>
      </c>
    </row>
    <row r="7" spans="1:3" x14ac:dyDescent="0.25">
      <c r="A7" s="3" t="s">
        <v>65</v>
      </c>
      <c r="B7" s="4">
        <v>30</v>
      </c>
      <c r="C7" s="1">
        <f t="shared" si="0"/>
        <v>600</v>
      </c>
    </row>
    <row r="8" spans="1:3" x14ac:dyDescent="0.25">
      <c r="A8" s="3" t="s">
        <v>66</v>
      </c>
      <c r="B8" s="4">
        <v>89</v>
      </c>
      <c r="C8" s="1">
        <f>20*B8</f>
        <v>1780</v>
      </c>
    </row>
    <row r="9" spans="1:3" x14ac:dyDescent="0.25">
      <c r="A9" s="3" t="s">
        <v>67</v>
      </c>
      <c r="B9" s="4">
        <v>60</v>
      </c>
      <c r="C9" s="1">
        <f>20*B9</f>
        <v>1200</v>
      </c>
    </row>
    <row r="10" spans="1:3" x14ac:dyDescent="0.25">
      <c r="A10" s="3"/>
      <c r="B10" s="4"/>
      <c r="C10" s="1"/>
    </row>
    <row r="11" spans="1:3" x14ac:dyDescent="0.25">
      <c r="A11" s="3"/>
      <c r="B11" s="4"/>
      <c r="C11" s="1"/>
    </row>
    <row r="12" spans="1:3" x14ac:dyDescent="0.25">
      <c r="A12" s="3"/>
      <c r="B12" s="4"/>
      <c r="C12" s="1"/>
    </row>
    <row r="13" spans="1:3" x14ac:dyDescent="0.25">
      <c r="A13" s="3"/>
      <c r="B13" s="4"/>
      <c r="C13" s="1"/>
    </row>
    <row r="14" spans="1:3" x14ac:dyDescent="0.25">
      <c r="A14" s="3"/>
      <c r="B14" s="4"/>
      <c r="C14" s="1"/>
    </row>
    <row r="15" spans="1:3" x14ac:dyDescent="0.25">
      <c r="A15" s="3"/>
      <c r="B15" s="4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Mat</vt:lpstr>
      <vt:lpstr>Gems</vt:lpstr>
      <vt:lpstr>Consumables</vt:lpstr>
      <vt:lpstr>Transmutes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</dc:creator>
  <cp:lastModifiedBy>Sina</cp:lastModifiedBy>
  <dcterms:created xsi:type="dcterms:W3CDTF">2015-06-05T18:17:20Z</dcterms:created>
  <dcterms:modified xsi:type="dcterms:W3CDTF">2026-07-02T16:26:35Z</dcterms:modified>
</cp:coreProperties>
</file>